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sts" state="visible" r:id="rId5"/>
    <sheet sheetId="3" name="By group" state="visible" r:id="rId6"/>
    <sheet sheetId="4" name="By category" state="visible" r:id="rId7"/>
    <sheet sheetId="5" name="Anomalies" state="visible" r:id="rId8"/>
  </sheets>
  <calcPr calcId="171027" fullCalcOnLoad="1"/>
</workbook>
</file>

<file path=xl/sharedStrings.xml><?xml version="1.0" encoding="utf-8"?>
<sst xmlns="http://schemas.openxmlformats.org/spreadsheetml/2006/main" count="93" uniqueCount="51">
  <si>
    <t>CostLens report</t>
  </si>
  <si>
    <t>CodeAudit</t>
  </si>
  <si>
    <t>Generated</t>
  </si>
  <si>
    <t>2026-10-28T00:00:00Z</t>
  </si>
  <si>
    <t>Owner</t>
  </si>
  <si>
    <t>demo@example.com</t>
  </si>
  <si>
    <t>Currency</t>
  </si>
  <si>
    <t>USD</t>
  </si>
  <si>
    <t>Total estimated</t>
  </si>
  <si>
    <t>Total actual</t>
  </si>
  <si>
    <t>Variance</t>
  </si>
  <si>
    <t>% Variance</t>
  </si>
  <si>
    <t>Items over budget</t>
  </si>
  <si>
    <t>Items</t>
  </si>
  <si>
    <t>Missing estimate or actual</t>
  </si>
  <si>
    <t>Other-currency items excluded from totals</t>
  </si>
  <si>
    <t>Data sources</t>
  </si>
  <si>
    <t>codeaudit.csv</t>
  </si>
  <si>
    <t>Item</t>
  </si>
  <si>
    <t>Group</t>
  </si>
  <si>
    <t>Category</t>
  </si>
  <si>
    <t>Estimated</t>
  </si>
  <si>
    <t>Actual</t>
  </si>
  <si>
    <t>Status</t>
  </si>
  <si>
    <t>Date</t>
  </si>
  <si>
    <t>Source</t>
  </si>
  <si>
    <t>Source reference</t>
  </si>
  <si>
    <t>Confidence</t>
  </si>
  <si>
    <t>Notes</t>
  </si>
  <si>
    <t>Development</t>
  </si>
  <si>
    <t>Build</t>
  </si>
  <si>
    <t>Labour</t>
  </si>
  <si>
    <t>under</t>
  </si>
  <si>
    <t>codeaudit.csv:row 2</t>
  </si>
  <si>
    <t/>
  </si>
  <si>
    <t>Cloud hosting</t>
  </si>
  <si>
    <t>Cloud</t>
  </si>
  <si>
    <t>codeaudit.csv:row 3</t>
  </si>
  <si>
    <t>AI API</t>
  </si>
  <si>
    <t>Test</t>
  </si>
  <si>
    <t>over</t>
  </si>
  <si>
    <t>codeaudit.csv:row 4</t>
  </si>
  <si>
    <t>Key</t>
  </si>
  <si>
    <t>Count</t>
  </si>
  <si>
    <t>Over budget</t>
  </si>
  <si>
    <t>Severity</t>
  </si>
  <si>
    <t>Rules</t>
  </si>
  <si>
    <t>Possible cause (AI)</t>
  </si>
  <si>
    <t>Suggested action (AI)</t>
  </si>
  <si>
    <t>medium</t>
  </si>
  <si>
    <t>More than 25% of group actual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</si>
</sst>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[Red](#,##0.00);0.00"/>
    <numFmt numFmtId="165" formatCode="0.0%"/>
    <numFmt numFmtId="166" formatCode="0.0%;[Red](0.0%)"/>
    <numFmt numFmtId="167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5" fontId="0" fillId="3" borderId="0" xfId="0" applyNumberForma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166" fontId="1" fillId="2" borderId="0" xfId="0" applyNumberFormat="1" applyFont="1" applyFill="1" applyAlignment="1">
      <alignment vertical="top" wrapText="1"/>
    </xf>
    <xf numFmtId="167" fontId="1" fillId="2" borderId="0" xfId="0" applyNumberFormat="1" applyFont="1" applyFill="1" applyAlignment="1">
      <alignment vertical="top" wrapText="1"/>
    </xf>
    <xf numFmtId="9" fontId="1" fillId="2" borderId="0" xfId="0" applyNumberFormat="1" applyFont="1" applyFill="1" applyAlignment="1">
      <alignment vertical="top" wrapText="1"/>
    </xf>
    <xf numFmtId="166" fontId="0" fillId="3" borderId="0" xfId="0" applyNumberFormat="1" applyFill="1" applyAlignment="1">
      <alignment vertical="top" wrapText="1"/>
    </xf>
    <xf numFmtId="167" fontId="0" fillId="3" borderId="0" xfId="0" applyNumberFormat="1" applyFill="1" applyAlignment="1">
      <alignment vertical="top" wrapText="1"/>
    </xf>
    <xf numFmtId="9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167" fontId="0" fillId="0" borderId="0" xfId="0" applyNumberFormat="1" applyAlignment="1">
      <alignment vertical="top" wrapText="1"/>
    </xf>
    <xf numFmtId="165" fontId="1" fillId="2" borderId="0" xfId="0" applyNumberFormat="1" applyFont="1" applyFill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00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3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3" t="s">
        <v>6</v>
      </c>
      <c r="B4" s="3" t="s">
        <v>7</v>
      </c>
    </row>
    <row r="5" spans="1:2" s="2" customFormat="1" x14ac:dyDescent="0.25">
      <c r="A5" s="2" t="s">
        <v>8</v>
      </c>
      <c r="B5" s="4">
        <v>3300</v>
      </c>
    </row>
    <row r="6" spans="1:2" s="2" customFormat="1" x14ac:dyDescent="0.25">
      <c r="A6" s="3" t="s">
        <v>9</v>
      </c>
      <c r="B6" s="5">
        <v>3130</v>
      </c>
    </row>
    <row r="7" spans="1:2" s="2" customFormat="1" x14ac:dyDescent="0.25">
      <c r="A7" s="2" t="s">
        <v>10</v>
      </c>
      <c r="B7" s="4">
        <v>-170</v>
      </c>
    </row>
    <row r="8" spans="1:2" s="2" customFormat="1" x14ac:dyDescent="0.25">
      <c r="A8" s="3" t="s">
        <v>11</v>
      </c>
      <c r="B8" s="6">
        <v>-0.051515151515151514</v>
      </c>
    </row>
    <row r="9" spans="1:2" s="2" customFormat="1" x14ac:dyDescent="0.25">
      <c r="A9" s="2" t="s">
        <v>12</v>
      </c>
      <c r="B9" s="2">
        <v>1</v>
      </c>
    </row>
    <row r="10" spans="1:2" s="2" customFormat="1" x14ac:dyDescent="0.25">
      <c r="A10" s="3" t="s">
        <v>13</v>
      </c>
      <c r="B10" s="3">
        <v>3</v>
      </c>
    </row>
    <row r="11" spans="1:2" s="2" customFormat="1" x14ac:dyDescent="0.25">
      <c r="A11" s="2" t="s">
        <v>14</v>
      </c>
      <c r="B11" s="2">
        <v>0</v>
      </c>
    </row>
    <row r="12" spans="1:2" s="2" customFormat="1" x14ac:dyDescent="0.25">
      <c r="A12" s="3" t="s">
        <v>15</v>
      </c>
      <c r="B12" s="3">
        <v>0</v>
      </c>
    </row>
    <row r="13" spans="1:2" s="2" customFormat="1" x14ac:dyDescent="0.25">
      <c r="A13" s="2" t="s">
        <v>16</v>
      </c>
      <c r="B13" s="2" t="s">
        <v>17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0" customWidth="1"/>
    <col min="4" max="6" width="18" customWidth="1"/>
    <col min="7" max="7" width="16" customWidth="1"/>
    <col min="8" max="8" width="14" customWidth="1"/>
    <col min="9" max="9" width="16" customWidth="1"/>
    <col min="10" max="10" width="28" customWidth="1"/>
    <col min="11" max="11" width="12" customWidth="1"/>
    <col min="12" max="12" width="30" customWidth="1"/>
    <col min="13" max="13" width="14" customWidth="1"/>
    <col min="14" max="14" width="70" customWidth="1"/>
  </cols>
  <sheetData>
    <row r="1" ht="26" customHeight="1" spans="1:14" s="1" customFormat="1" x14ac:dyDescent="0.25">
      <c r="A1" s="1" t="s">
        <v>18</v>
      </c>
      <c r="B1" s="1" t="s">
        <v>19</v>
      </c>
      <c r="C1" s="1" t="s">
        <v>20</v>
      </c>
      <c r="D1" s="7" t="s">
        <v>21</v>
      </c>
      <c r="E1" s="7" t="s">
        <v>22</v>
      </c>
      <c r="F1" s="7" t="s">
        <v>10</v>
      </c>
      <c r="G1" s="8" t="s">
        <v>11</v>
      </c>
      <c r="H1" s="1" t="s">
        <v>23</v>
      </c>
      <c r="I1" s="9" t="s">
        <v>24</v>
      </c>
      <c r="J1" s="1" t="s">
        <v>25</v>
      </c>
      <c r="K1" s="1" t="s">
        <v>6</v>
      </c>
      <c r="L1" s="1" t="s">
        <v>26</v>
      </c>
      <c r="M1" s="10" t="s">
        <v>27</v>
      </c>
      <c r="N1" s="1" t="s">
        <v>28</v>
      </c>
    </row>
    <row r="2" spans="1:14" s="2" customFormat="1" x14ac:dyDescent="0.25">
      <c r="A2" s="3" t="s">
        <v>29</v>
      </c>
      <c r="B2" s="3" t="s">
        <v>30</v>
      </c>
      <c r="C2" s="3" t="s">
        <v>31</v>
      </c>
      <c r="D2" s="5">
        <v>3000</v>
      </c>
      <c r="E2" s="5">
        <v>2800</v>
      </c>
      <c r="F2" s="5">
        <f>IF(OR(D2="",E2=""),"",E2-D2)</f>
        <v>-200</v>
      </c>
      <c r="G2" s="11">
        <f>IF(OR(D2="",D2=0,E2=""),"n/a",F2/D2)</f>
        <v>-0.06666666666666667</v>
      </c>
      <c r="H2" s="3" t="s">
        <v>32</v>
      </c>
      <c r="I2" s="12">
        <v>46296</v>
      </c>
      <c r="J2" s="3" t="s">
        <v>17</v>
      </c>
      <c r="K2" s="3" t="s">
        <v>7</v>
      </c>
      <c r="L2" s="3" t="s">
        <v>33</v>
      </c>
      <c r="M2" s="13"/>
      <c r="N2" s="3" t="s">
        <v>34</v>
      </c>
    </row>
    <row r="3" spans="1:14" s="2" customFormat="1" x14ac:dyDescent="0.25">
      <c r="A3" s="2" t="s">
        <v>35</v>
      </c>
      <c r="B3" s="2" t="s">
        <v>30</v>
      </c>
      <c r="C3" s="2" t="s">
        <v>36</v>
      </c>
      <c r="D3" s="4">
        <v>100</v>
      </c>
      <c r="E3" s="4">
        <v>80</v>
      </c>
      <c r="F3" s="4">
        <f>IF(OR(D3="",E3=""),"",E3-D3)</f>
        <v>-20</v>
      </c>
      <c r="G3" s="14">
        <f>IF(OR(D3="",D3=0,E3=""),"n/a",F3/D3)</f>
        <v>-0.2</v>
      </c>
      <c r="H3" s="2" t="s">
        <v>32</v>
      </c>
      <c r="I3" s="15">
        <v>46297</v>
      </c>
      <c r="J3" s="2" t="s">
        <v>17</v>
      </c>
      <c r="K3" s="2" t="s">
        <v>7</v>
      </c>
      <c r="L3" s="2" t="s">
        <v>37</v>
      </c>
      <c r="M3" s="13"/>
      <c r="N3" s="2" t="s">
        <v>34</v>
      </c>
    </row>
    <row r="4" spans="1:14" s="2" customFormat="1" x14ac:dyDescent="0.25">
      <c r="A4" s="3" t="s">
        <v>38</v>
      </c>
      <c r="B4" s="3" t="s">
        <v>39</v>
      </c>
      <c r="C4" s="3" t="s">
        <v>38</v>
      </c>
      <c r="D4" s="5">
        <v>200</v>
      </c>
      <c r="E4" s="5">
        <v>250</v>
      </c>
      <c r="F4" s="5">
        <f>IF(OR(D4="",E4=""),"",E4-D4)</f>
        <v>50</v>
      </c>
      <c r="G4" s="11">
        <f>IF(OR(D4="",D4=0,E4=""),"n/a",F4/D4)</f>
        <v>0.25</v>
      </c>
      <c r="H4" s="3" t="s">
        <v>40</v>
      </c>
      <c r="I4" s="12">
        <v>46298</v>
      </c>
      <c r="J4" s="3" t="s">
        <v>17</v>
      </c>
      <c r="K4" s="3" t="s">
        <v>7</v>
      </c>
      <c r="L4" s="3" t="s">
        <v>41</v>
      </c>
      <c r="M4" s="13"/>
      <c r="N4" s="3" t="s">
        <v>34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5" width="18" customWidth="1"/>
    <col min="6" max="6" width="14" customWidth="1"/>
    <col min="7" max="7" width="16" customWidth="1"/>
  </cols>
  <sheetData>
    <row r="1" ht="26" customHeight="1" spans="1:7" s="1" customFormat="1" x14ac:dyDescent="0.25">
      <c r="A1" s="1" t="s">
        <v>42</v>
      </c>
      <c r="B1" s="7" t="s">
        <v>21</v>
      </c>
      <c r="C1" s="7" t="s">
        <v>22</v>
      </c>
      <c r="D1" s="7" t="s">
        <v>10</v>
      </c>
      <c r="E1" s="16" t="s">
        <v>11</v>
      </c>
      <c r="F1" s="1" t="s">
        <v>43</v>
      </c>
      <c r="G1" s="1" t="s">
        <v>44</v>
      </c>
    </row>
    <row r="2" spans="1:7" s="2" customFormat="1" x14ac:dyDescent="0.25">
      <c r="A2" s="3" t="s">
        <v>30</v>
      </c>
      <c r="B2" s="5">
        <v>3100</v>
      </c>
      <c r="C2" s="5">
        <v>2880</v>
      </c>
      <c r="D2" s="5">
        <v>-220</v>
      </c>
      <c r="E2" s="6">
        <v>-0.07096774193548387</v>
      </c>
      <c r="F2" s="3">
        <v>2</v>
      </c>
      <c r="G2" s="3">
        <v>0</v>
      </c>
    </row>
    <row r="3" spans="1:7" s="2" customFormat="1" x14ac:dyDescent="0.25">
      <c r="A3" s="2" t="s">
        <v>39</v>
      </c>
      <c r="B3" s="4">
        <v>200</v>
      </c>
      <c r="C3" s="4">
        <v>250</v>
      </c>
      <c r="D3" s="4">
        <v>50</v>
      </c>
      <c r="E3" s="17">
        <v>0.25</v>
      </c>
      <c r="F3" s="2">
        <v>1</v>
      </c>
      <c r="G3" s="2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5" width="18" customWidth="1"/>
    <col min="6" max="6" width="14" customWidth="1"/>
    <col min="7" max="7" width="16" customWidth="1"/>
  </cols>
  <sheetData>
    <row r="1" ht="26" customHeight="1" spans="1:7" s="1" customFormat="1" x14ac:dyDescent="0.25">
      <c r="A1" s="1" t="s">
        <v>42</v>
      </c>
      <c r="B1" s="7" t="s">
        <v>21</v>
      </c>
      <c r="C1" s="7" t="s">
        <v>22</v>
      </c>
      <c r="D1" s="7" t="s">
        <v>10</v>
      </c>
      <c r="E1" s="16" t="s">
        <v>11</v>
      </c>
      <c r="F1" s="1" t="s">
        <v>43</v>
      </c>
      <c r="G1" s="1" t="s">
        <v>44</v>
      </c>
    </row>
    <row r="2" spans="1:7" s="2" customFormat="1" x14ac:dyDescent="0.25">
      <c r="A2" s="3" t="s">
        <v>38</v>
      </c>
      <c r="B2" s="5">
        <v>200</v>
      </c>
      <c r="C2" s="5">
        <v>250</v>
      </c>
      <c r="D2" s="5">
        <v>50</v>
      </c>
      <c r="E2" s="6">
        <v>0.25</v>
      </c>
      <c r="F2" s="3">
        <v>1</v>
      </c>
      <c r="G2" s="3">
        <v>1</v>
      </c>
    </row>
    <row r="3" spans="1:7" s="2" customFormat="1" x14ac:dyDescent="0.25">
      <c r="A3" s="2" t="s">
        <v>36</v>
      </c>
      <c r="B3" s="4">
        <v>100</v>
      </c>
      <c r="C3" s="4">
        <v>80</v>
      </c>
      <c r="D3" s="4">
        <v>-20</v>
      </c>
      <c r="E3" s="17">
        <v>-0.2</v>
      </c>
      <c r="F3" s="2">
        <v>1</v>
      </c>
      <c r="G3" s="2">
        <v>0</v>
      </c>
    </row>
    <row r="4" spans="1:7" s="2" customFormat="1" x14ac:dyDescent="0.25">
      <c r="A4" s="3" t="s">
        <v>31</v>
      </c>
      <c r="B4" s="5">
        <v>3000</v>
      </c>
      <c r="C4" s="5">
        <v>2800</v>
      </c>
      <c r="D4" s="5">
        <v>-200</v>
      </c>
      <c r="E4" s="6">
        <v>-0.06666666666666667</v>
      </c>
      <c r="F4" s="3">
        <v>1</v>
      </c>
      <c r="G4" s="3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4" customWidth="1"/>
    <col min="3" max="5" width="65" customWidth="1"/>
    <col min="6" max="6" width="30" customWidth="1"/>
  </cols>
  <sheetData>
    <row r="1" ht="26" customHeight="1" spans="1:6" s="1" customFormat="1" x14ac:dyDescent="0.25">
      <c r="A1" s="1" t="s">
        <v>18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26</v>
      </c>
    </row>
    <row r="2" spans="1:6" s="2" customFormat="1" x14ac:dyDescent="0.25">
      <c r="A2" s="3" t="s">
        <v>29</v>
      </c>
      <c r="B2" s="3" t="s">
        <v>49</v>
      </c>
      <c r="C2" s="3" t="s">
        <v>50</v>
      </c>
      <c r="D2" s="3" t="s">
        <v>34</v>
      </c>
      <c r="E2" s="3" t="s">
        <v>34</v>
      </c>
      <c r="F2" s="3" t="s">
        <v>33</v>
      </c>
    </row>
    <row r="3" spans="1:6" s="2" customFormat="1" x14ac:dyDescent="0.25">
      <c r="A3" s="2" t="s">
        <v>38</v>
      </c>
      <c r="B3" s="2" t="s">
        <v>49</v>
      </c>
      <c r="C3" s="2" t="s">
        <v>50</v>
      </c>
      <c r="D3" s="2" t="s">
        <v>34</v>
      </c>
      <c r="E3" s="2" t="s">
        <v>34</v>
      </c>
      <c r="F3" s="2" t="s">
        <v>41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Costs</vt:lpstr>
      <vt:lpstr>By group</vt:lpstr>
      <vt:lpstr>By category</vt:lpstr>
      <vt:lpstr>Anomalies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CostLens</dc:creator>
  <dc:title>CodeAudit cost report</dc:title>
  <dc:subject/>
  <dc:description/>
  <cp:keywords/>
  <cp:category/>
  <cp:lastModifiedBy>Unknown</cp:lastModifiedBy>
  <dcterms:created xsi:type="dcterms:W3CDTF">2026-10-28T00:00:00Z</dcterms:created>
  <dcterms:modified xsi:type="dcterms:W3CDTF">2026-10-28T06:47:43Z</dcterms:modified>
</cp:coreProperties>
</file>